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AKSHI\Downloads\"/>
    </mc:Choice>
  </mc:AlternateContent>
  <xr:revisionPtr revIDLastSave="0" documentId="13_ncr:1_{0341DFE6-45AB-4AFB-B88A-FA2319969AF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over Page" sheetId="1" r:id="rId1"/>
    <sheet name="RTM" sheetId="2" r:id="rId2"/>
    <sheet name="Test 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" i="3" l="1"/>
  <c r="B14" i="3"/>
  <c r="B13" i="3"/>
  <c r="B12" i="3"/>
  <c r="B11" i="3"/>
  <c r="B10" i="3"/>
  <c r="B7" i="3"/>
  <c r="B6" i="3"/>
  <c r="B5" i="3"/>
  <c r="B4" i="3"/>
</calcChain>
</file>

<file path=xl/sharedStrings.xml><?xml version="1.0" encoding="utf-8"?>
<sst xmlns="http://schemas.openxmlformats.org/spreadsheetml/2006/main" count="162" uniqueCount="116">
  <si>
    <t>API TEST REQUIREMENT TRACEABILITY MATRIX</t>
  </si>
  <si>
    <t>Project Name</t>
  </si>
  <si>
    <t>ReqRes API Automation Testing Framework</t>
  </si>
  <si>
    <t>Author</t>
  </si>
  <si>
    <t>Madhavi Katte</t>
  </si>
  <si>
    <t>Role</t>
  </si>
  <si>
    <t>QA Automation Engineer</t>
  </si>
  <si>
    <t>API Under Test</t>
  </si>
  <si>
    <t>ReqRes REST API (reqres.in)</t>
  </si>
  <si>
    <t>Tool Used</t>
  </si>
  <si>
    <t>Python, Pytest, Requests Library</t>
  </si>
  <si>
    <t>Document Version</t>
  </si>
  <si>
    <t>v1.0</t>
  </si>
  <si>
    <t>Date Created</t>
  </si>
  <si>
    <t>May 2026</t>
  </si>
  <si>
    <t>Status</t>
  </si>
  <si>
    <t>In Progress</t>
  </si>
  <si>
    <t>REQ ID</t>
  </si>
  <si>
    <t>Requirement Description</t>
  </si>
  <si>
    <t>TC ID</t>
  </si>
  <si>
    <t>Test Case Description</t>
  </si>
  <si>
    <t>Type</t>
  </si>
  <si>
    <t>Method</t>
  </si>
  <si>
    <t>Endpoint</t>
  </si>
  <si>
    <t>Payload / Input</t>
  </si>
  <si>
    <t>Expected Status</t>
  </si>
  <si>
    <t>Expected Response Contains</t>
  </si>
  <si>
    <t>Actual Status</t>
  </si>
  <si>
    <t>Result</t>
  </si>
  <si>
    <t>REQ-01</t>
  </si>
  <si>
    <t>System shall return a list of users</t>
  </si>
  <si>
    <t>TC-01</t>
  </si>
  <si>
    <t>Verify GET all users returns 200 with user list</t>
  </si>
  <si>
    <t>Positive</t>
  </si>
  <si>
    <t>GET</t>
  </si>
  <si>
    <t>/api/users?page=1</t>
  </si>
  <si>
    <t>None</t>
  </si>
  <si>
    <t>200</t>
  </si>
  <si>
    <t>Response contains 'data' array with user objects</t>
  </si>
  <si>
    <t>Pass</t>
  </si>
  <si>
    <t>REQ-02</t>
  </si>
  <si>
    <t>System shall return a single user by ID</t>
  </si>
  <si>
    <t>TC-02</t>
  </si>
  <si>
    <t>Verify GET user by valid ID returns 200 with correct user data</t>
  </si>
  <si>
    <t>/api/users/2</t>
  </si>
  <si>
    <t>Response contains 'data.id' = 2, 'data.email' present</t>
  </si>
  <si>
    <t>REQ-03</t>
  </si>
  <si>
    <t>System shall return 404 for non-existent user</t>
  </si>
  <si>
    <t>TC-03</t>
  </si>
  <si>
    <t>Verify GET user with invalid ID returns 404</t>
  </si>
  <si>
    <t>Negative</t>
  </si>
  <si>
    <t>/api/users/99</t>
  </si>
  <si>
    <t>404</t>
  </si>
  <si>
    <t>Response body is empty {} or error message</t>
  </si>
  <si>
    <t>REQ-04</t>
  </si>
  <si>
    <t>System shall create a new user with name and job</t>
  </si>
  <si>
    <t>TC-04</t>
  </si>
  <si>
    <t>Verify POST create user returns 201 with id and createdAt</t>
  </si>
  <si>
    <t>POST</t>
  </si>
  <si>
    <t>/api/users</t>
  </si>
  <si>
    <t>{"name": "Madhavi", "job": "QA Automation Engineer"}</t>
  </si>
  <si>
    <t>201</t>
  </si>
  <si>
    <t>Response contains 'id', 'createdAt', 'name', 'job'</t>
  </si>
  <si>
    <t>REQ-05</t>
  </si>
  <si>
    <t>System shall update an existing user</t>
  </si>
  <si>
    <t>TC-05</t>
  </si>
  <si>
    <t>Verify PUT update user returns 200 with updated fields</t>
  </si>
  <si>
    <t>PUT</t>
  </si>
  <si>
    <t>{"name": "Madhavi Katte", "job": "Senior QA Engineer"}</t>
  </si>
  <si>
    <t>Response contains updated 'name' and 'job', 'updatedAt' present</t>
  </si>
  <si>
    <t>REQ-06</t>
  </si>
  <si>
    <t>System shall delete an existing user</t>
  </si>
  <si>
    <t>TC-06</t>
  </si>
  <si>
    <t>Verify DELETE user returns 204 with empty body</t>
  </si>
  <si>
    <t>DELETE</t>
  </si>
  <si>
    <t>204</t>
  </si>
  <si>
    <t>Response body is empty</t>
  </si>
  <si>
    <t>REQ-07</t>
  </si>
  <si>
    <t>System shall register a user with valid credentials</t>
  </si>
  <si>
    <t>TC-07</t>
  </si>
  <si>
    <t>Verify POST register with valid email and password returns 200 with token</t>
  </si>
  <si>
    <t>/api/register</t>
  </si>
  <si>
    <t>{"email": "eve.holt@reqres.in", "password": "pistol"}</t>
  </si>
  <si>
    <t>Response contains 'token' field</t>
  </si>
  <si>
    <t>REQ-08</t>
  </si>
  <si>
    <t>System shall reject registration without password</t>
  </si>
  <si>
    <t>TC-08</t>
  </si>
  <si>
    <t>Verify POST register with missing password returns 400 with error message</t>
  </si>
  <si>
    <t>{"email": "eve.holt@reqres.in"}</t>
  </si>
  <si>
    <t>400</t>
  </si>
  <si>
    <t>Response contains 'error': 'Missing password'</t>
  </si>
  <si>
    <t>REQ-09</t>
  </si>
  <si>
    <t>System shall login with valid credentials and return token</t>
  </si>
  <si>
    <t>TC-09</t>
  </si>
  <si>
    <t>Verify POST login with valid credentials returns 200 with token</t>
  </si>
  <si>
    <t>/api/login</t>
  </si>
  <si>
    <t>Response contains 'token' field, token is non-empty string</t>
  </si>
  <si>
    <t>REQ-10</t>
  </si>
  <si>
    <t>System shall reject login with invalid credentials</t>
  </si>
  <si>
    <t>TC-10</t>
  </si>
  <si>
    <t>Verify POST login with wrong credentials returns 400 with error</t>
  </si>
  <si>
    <t>{"email": "wrong@email.com", "password": "wrongpass"}</t>
  </si>
  <si>
    <t>Response contains 'error': 'user not found'</t>
  </si>
  <si>
    <t>TEST EXECUTION SUMMARY</t>
  </si>
  <si>
    <t>ReqRes API Testing Framework — Madhavi Katte</t>
  </si>
  <si>
    <t>Total Test Cases</t>
  </si>
  <si>
    <t>Total Passed</t>
  </si>
  <si>
    <t>Total Failed</t>
  </si>
  <si>
    <t>Pass Rate</t>
  </si>
  <si>
    <t>Coverage Breakdown</t>
  </si>
  <si>
    <t>Positive Test Cases</t>
  </si>
  <si>
    <t>Negative Test Cases</t>
  </si>
  <si>
    <t>GET Requests</t>
  </si>
  <si>
    <t>POST Requests</t>
  </si>
  <si>
    <t>PUT Requests</t>
  </si>
  <si>
    <t>DELETE Requests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</si>
</sst>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b/>
      <sz val="11"/>
      <name val="Arial"/>
    </font>
    <font>
      <sz val="11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b/>
      <sz val="10"/>
      <color rgb="FF1E7E34"/>
      <name val="Arial"/>
    </font>
    <font>
      <b/>
      <sz val="13"/>
      <color rgb="FFFFFFFF"/>
      <name val="Arial"/>
    </font>
    <font>
      <b/>
      <sz val="11"/>
      <color rgb="FFFFFFFF"/>
      <name val="Arial"/>
    </font>
  </fonts>
  <fills count="13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7FF"/>
      </patternFill>
    </fill>
    <fill>
      <patternFill patternType="solid">
        <fgColor rgb="FFDCE6F1"/>
      </patternFill>
    </fill>
    <fill>
      <patternFill patternType="solid">
        <fgColor rgb="FFEBF5EB"/>
      </patternFill>
    </fill>
    <fill>
      <patternFill patternType="solid">
        <fgColor rgb="FFD5E8D4"/>
      </patternFill>
    </fill>
    <fill>
      <patternFill patternType="solid">
        <fgColor rgb="FFD5F5E3"/>
      </patternFill>
    </fill>
    <fill>
      <patternFill patternType="solid">
        <fgColor rgb="FFFDF2F2"/>
      </patternFill>
    </fill>
    <fill>
      <patternFill patternType="solid">
        <fgColor rgb="FFDAE8FC"/>
      </patternFill>
    </fill>
    <fill>
      <patternFill patternType="solid">
        <fgColor rgb="FFFFF2CC"/>
      </patternFill>
    </fill>
    <fill>
      <patternFill patternType="solid">
        <fgColor rgb="FFF8CECC"/>
      </patternFill>
    </fill>
    <fill>
      <patternFill patternType="solid">
        <fgColor rgb="FF2E75B6"/>
      </patternFill>
    </fill>
  </fills>
  <borders count="2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9" fillId="1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activeCell="D13" sqref="D13"/>
    </sheetView>
  </sheetViews>
  <sheetFormatPr defaultRowHeight="14.4" x14ac:dyDescent="0.3"/>
  <cols>
    <col min="1" max="1" width="30" customWidth="1"/>
    <col min="2" max="2" width="50" customWidth="1"/>
  </cols>
  <sheetData>
    <row r="1" spans="1:2" ht="40.049999999999997" customHeight="1" x14ac:dyDescent="0.3">
      <c r="A1" s="20" t="s">
        <v>0</v>
      </c>
      <c r="B1" s="21"/>
    </row>
    <row r="2" spans="1:2" ht="15" customHeight="1" x14ac:dyDescent="0.3"/>
    <row r="3" spans="1:2" ht="22.05" customHeight="1" x14ac:dyDescent="0.3">
      <c r="A3" s="1" t="s">
        <v>1</v>
      </c>
      <c r="B3" s="2" t="s">
        <v>2</v>
      </c>
    </row>
    <row r="4" spans="1:2" ht="22.05" customHeight="1" x14ac:dyDescent="0.3">
      <c r="A4" s="3" t="s">
        <v>3</v>
      </c>
      <c r="B4" s="4" t="s">
        <v>4</v>
      </c>
    </row>
    <row r="5" spans="1:2" ht="22.05" customHeight="1" x14ac:dyDescent="0.3">
      <c r="A5" s="1" t="s">
        <v>5</v>
      </c>
      <c r="B5" s="2" t="s">
        <v>6</v>
      </c>
    </row>
    <row r="6" spans="1:2" ht="22.05" customHeight="1" x14ac:dyDescent="0.3">
      <c r="A6" s="3" t="s">
        <v>7</v>
      </c>
      <c r="B6" s="4" t="s">
        <v>8</v>
      </c>
    </row>
    <row r="7" spans="1:2" ht="22.05" customHeight="1" x14ac:dyDescent="0.3">
      <c r="A7" s="1" t="s">
        <v>9</v>
      </c>
      <c r="B7" s="2" t="s">
        <v>10</v>
      </c>
    </row>
    <row r="8" spans="1:2" ht="22.05" customHeight="1" x14ac:dyDescent="0.3">
      <c r="A8" s="3" t="s">
        <v>11</v>
      </c>
      <c r="B8" s="4" t="s">
        <v>12</v>
      </c>
    </row>
    <row r="9" spans="1:2" ht="22.05" customHeight="1" x14ac:dyDescent="0.3">
      <c r="A9" s="1" t="s">
        <v>13</v>
      </c>
      <c r="B9" s="2" t="s">
        <v>14</v>
      </c>
    </row>
    <row r="10" spans="1:2" ht="22.05" customHeight="1" x14ac:dyDescent="0.3">
      <c r="A10" s="3" t="s">
        <v>15</v>
      </c>
      <c r="B10" s="4" t="s">
        <v>16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1"/>
  <sheetViews>
    <sheetView topLeftCell="A4" workbookViewId="0">
      <selection activeCell="D8" sqref="D8"/>
    </sheetView>
  </sheetViews>
  <sheetFormatPr defaultRowHeight="14.4" x14ac:dyDescent="0.3"/>
  <cols>
    <col min="1" max="1" width="8" customWidth="1"/>
    <col min="2" max="2" width="35" customWidth="1"/>
    <col min="3" max="3" width="8" customWidth="1"/>
    <col min="4" max="4" width="40" customWidth="1"/>
    <col min="5" max="5" width="12" customWidth="1"/>
    <col min="6" max="6" width="10" customWidth="1"/>
    <col min="7" max="8" width="35" customWidth="1"/>
    <col min="9" max="9" width="18" customWidth="1"/>
    <col min="10" max="10" width="35" customWidth="1"/>
    <col min="11" max="11" width="15" customWidth="1"/>
    <col min="12" max="12" width="12" customWidth="1"/>
  </cols>
  <sheetData>
    <row r="1" spans="1:12" ht="34.950000000000003" customHeight="1" x14ac:dyDescent="0.3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23</v>
      </c>
      <c r="H1" s="5" t="s">
        <v>24</v>
      </c>
      <c r="I1" s="5" t="s">
        <v>25</v>
      </c>
      <c r="J1" s="5" t="s">
        <v>26</v>
      </c>
      <c r="K1" s="5" t="s">
        <v>27</v>
      </c>
      <c r="L1" s="5" t="s">
        <v>28</v>
      </c>
    </row>
    <row r="2" spans="1:12" ht="45" customHeight="1" x14ac:dyDescent="0.3">
      <c r="A2" s="6" t="s">
        <v>29</v>
      </c>
      <c r="B2" s="7" t="s">
        <v>30</v>
      </c>
      <c r="C2" s="6" t="s">
        <v>31</v>
      </c>
      <c r="D2" s="7" t="s">
        <v>32</v>
      </c>
      <c r="E2" s="6" t="s">
        <v>33</v>
      </c>
      <c r="F2" s="8" t="s">
        <v>34</v>
      </c>
      <c r="G2" s="7" t="s">
        <v>35</v>
      </c>
      <c r="H2" s="7" t="s">
        <v>36</v>
      </c>
      <c r="I2" s="6" t="s">
        <v>37</v>
      </c>
      <c r="J2" s="7" t="s">
        <v>38</v>
      </c>
      <c r="K2" s="6" t="s">
        <v>37</v>
      </c>
      <c r="L2" s="9" t="s">
        <v>39</v>
      </c>
    </row>
    <row r="3" spans="1:12" ht="45" customHeight="1" x14ac:dyDescent="0.3">
      <c r="A3" s="6" t="s">
        <v>40</v>
      </c>
      <c r="B3" s="7" t="s">
        <v>41</v>
      </c>
      <c r="C3" s="6" t="s">
        <v>42</v>
      </c>
      <c r="D3" s="7" t="s">
        <v>43</v>
      </c>
      <c r="E3" s="6" t="s">
        <v>33</v>
      </c>
      <c r="F3" s="8" t="s">
        <v>34</v>
      </c>
      <c r="G3" s="7" t="s">
        <v>44</v>
      </c>
      <c r="H3" s="7" t="s">
        <v>36</v>
      </c>
      <c r="I3" s="6" t="s">
        <v>37</v>
      </c>
      <c r="J3" s="7" t="s">
        <v>45</v>
      </c>
      <c r="K3" s="6" t="s">
        <v>37</v>
      </c>
      <c r="L3" s="9" t="s">
        <v>39</v>
      </c>
    </row>
    <row r="4" spans="1:12" ht="45" customHeight="1" x14ac:dyDescent="0.3">
      <c r="A4" s="10" t="s">
        <v>46</v>
      </c>
      <c r="B4" s="11" t="s">
        <v>47</v>
      </c>
      <c r="C4" s="10" t="s">
        <v>48</v>
      </c>
      <c r="D4" s="11" t="s">
        <v>49</v>
      </c>
      <c r="E4" s="10" t="s">
        <v>50</v>
      </c>
      <c r="F4" s="8" t="s">
        <v>34</v>
      </c>
      <c r="G4" s="11" t="s">
        <v>51</v>
      </c>
      <c r="H4" s="11" t="s">
        <v>36</v>
      </c>
      <c r="I4" s="10" t="s">
        <v>52</v>
      </c>
      <c r="J4" s="11" t="s">
        <v>53</v>
      </c>
      <c r="K4" s="10" t="s">
        <v>52</v>
      </c>
      <c r="L4" s="9" t="s">
        <v>39</v>
      </c>
    </row>
    <row r="5" spans="1:12" ht="45" customHeight="1" x14ac:dyDescent="0.3">
      <c r="A5" s="6" t="s">
        <v>54</v>
      </c>
      <c r="B5" s="7" t="s">
        <v>55</v>
      </c>
      <c r="C5" s="6" t="s">
        <v>56</v>
      </c>
      <c r="D5" s="7" t="s">
        <v>57</v>
      </c>
      <c r="E5" s="6" t="s">
        <v>33</v>
      </c>
      <c r="F5" s="12" t="s">
        <v>58</v>
      </c>
      <c r="G5" s="7" t="s">
        <v>59</v>
      </c>
      <c r="H5" s="7" t="s">
        <v>60</v>
      </c>
      <c r="I5" s="6" t="s">
        <v>61</v>
      </c>
      <c r="J5" s="7" t="s">
        <v>62</v>
      </c>
      <c r="K5" s="6" t="s">
        <v>61</v>
      </c>
      <c r="L5" s="9" t="s">
        <v>39</v>
      </c>
    </row>
    <row r="6" spans="1:12" ht="45" customHeight="1" x14ac:dyDescent="0.3">
      <c r="A6" s="6" t="s">
        <v>63</v>
      </c>
      <c r="B6" s="7" t="s">
        <v>64</v>
      </c>
      <c r="C6" s="6" t="s">
        <v>65</v>
      </c>
      <c r="D6" s="7" t="s">
        <v>66</v>
      </c>
      <c r="E6" s="6" t="s">
        <v>33</v>
      </c>
      <c r="F6" s="13" t="s">
        <v>67</v>
      </c>
      <c r="G6" s="7" t="s">
        <v>44</v>
      </c>
      <c r="H6" s="7" t="s">
        <v>68</v>
      </c>
      <c r="I6" s="6" t="s">
        <v>37</v>
      </c>
      <c r="J6" s="7" t="s">
        <v>69</v>
      </c>
      <c r="K6" s="6" t="s">
        <v>37</v>
      </c>
      <c r="L6" s="9" t="s">
        <v>39</v>
      </c>
    </row>
    <row r="7" spans="1:12" ht="45" customHeight="1" x14ac:dyDescent="0.3">
      <c r="A7" s="6" t="s">
        <v>70</v>
      </c>
      <c r="B7" s="7" t="s">
        <v>71</v>
      </c>
      <c r="C7" s="6" t="s">
        <v>72</v>
      </c>
      <c r="D7" s="7" t="s">
        <v>73</v>
      </c>
      <c r="E7" s="6" t="s">
        <v>33</v>
      </c>
      <c r="F7" s="14" t="s">
        <v>74</v>
      </c>
      <c r="G7" s="7" t="s">
        <v>44</v>
      </c>
      <c r="H7" s="7" t="s">
        <v>36</v>
      </c>
      <c r="I7" s="6" t="s">
        <v>75</v>
      </c>
      <c r="J7" s="7" t="s">
        <v>76</v>
      </c>
      <c r="K7" s="6" t="s">
        <v>75</v>
      </c>
      <c r="L7" s="9" t="s">
        <v>39</v>
      </c>
    </row>
    <row r="8" spans="1:12" ht="45" customHeight="1" x14ac:dyDescent="0.3">
      <c r="A8" s="6" t="s">
        <v>77</v>
      </c>
      <c r="B8" s="7" t="s">
        <v>78</v>
      </c>
      <c r="C8" s="6" t="s">
        <v>79</v>
      </c>
      <c r="D8" s="7" t="s">
        <v>80</v>
      </c>
      <c r="E8" s="6" t="s">
        <v>33</v>
      </c>
      <c r="F8" s="12" t="s">
        <v>58</v>
      </c>
      <c r="G8" s="7" t="s">
        <v>81</v>
      </c>
      <c r="H8" s="7" t="s">
        <v>82</v>
      </c>
      <c r="I8" s="6" t="s">
        <v>37</v>
      </c>
      <c r="J8" s="7" t="s">
        <v>83</v>
      </c>
      <c r="K8" s="6" t="s">
        <v>37</v>
      </c>
      <c r="L8" s="9" t="s">
        <v>39</v>
      </c>
    </row>
    <row r="9" spans="1:12" ht="45" customHeight="1" x14ac:dyDescent="0.3">
      <c r="A9" s="10" t="s">
        <v>84</v>
      </c>
      <c r="B9" s="11" t="s">
        <v>85</v>
      </c>
      <c r="C9" s="10" t="s">
        <v>86</v>
      </c>
      <c r="D9" s="11" t="s">
        <v>87</v>
      </c>
      <c r="E9" s="10" t="s">
        <v>50</v>
      </c>
      <c r="F9" s="12" t="s">
        <v>58</v>
      </c>
      <c r="G9" s="11" t="s">
        <v>81</v>
      </c>
      <c r="H9" s="11" t="s">
        <v>88</v>
      </c>
      <c r="I9" s="10" t="s">
        <v>89</v>
      </c>
      <c r="J9" s="11" t="s">
        <v>90</v>
      </c>
      <c r="K9" s="10" t="s">
        <v>89</v>
      </c>
      <c r="L9" s="9" t="s">
        <v>39</v>
      </c>
    </row>
    <row r="10" spans="1:12" ht="45" customHeight="1" x14ac:dyDescent="0.3">
      <c r="A10" s="6" t="s">
        <v>91</v>
      </c>
      <c r="B10" s="7" t="s">
        <v>92</v>
      </c>
      <c r="C10" s="6" t="s">
        <v>93</v>
      </c>
      <c r="D10" s="7" t="s">
        <v>94</v>
      </c>
      <c r="E10" s="6" t="s">
        <v>33</v>
      </c>
      <c r="F10" s="12" t="s">
        <v>58</v>
      </c>
      <c r="G10" s="7" t="s">
        <v>95</v>
      </c>
      <c r="H10" s="7" t="s">
        <v>82</v>
      </c>
      <c r="I10" s="6" t="s">
        <v>37</v>
      </c>
      <c r="J10" s="7" t="s">
        <v>96</v>
      </c>
      <c r="K10" s="6" t="s">
        <v>37</v>
      </c>
      <c r="L10" s="9" t="s">
        <v>39</v>
      </c>
    </row>
    <row r="11" spans="1:12" ht="45" customHeight="1" x14ac:dyDescent="0.3">
      <c r="A11" s="10" t="s">
        <v>97</v>
      </c>
      <c r="B11" s="11" t="s">
        <v>98</v>
      </c>
      <c r="C11" s="10" t="s">
        <v>99</v>
      </c>
      <c r="D11" s="11" t="s">
        <v>100</v>
      </c>
      <c r="E11" s="10" t="s">
        <v>50</v>
      </c>
      <c r="F11" s="12" t="s">
        <v>58</v>
      </c>
      <c r="G11" s="11" t="s">
        <v>95</v>
      </c>
      <c r="H11" s="11" t="s">
        <v>101</v>
      </c>
      <c r="I11" s="10" t="s">
        <v>89</v>
      </c>
      <c r="J11" s="11" t="s">
        <v>102</v>
      </c>
      <c r="K11" s="10" t="s">
        <v>89</v>
      </c>
      <c r="L11" s="9" t="s">
        <v>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5"/>
  <sheetViews>
    <sheetView tabSelected="1" workbookViewId="0">
      <selection activeCell="B19" sqref="B19"/>
    </sheetView>
  </sheetViews>
  <sheetFormatPr defaultRowHeight="14.4" x14ac:dyDescent="0.3"/>
  <cols>
    <col min="1" max="1" width="30" customWidth="1"/>
    <col min="2" max="2" width="20" customWidth="1"/>
  </cols>
  <sheetData>
    <row r="1" spans="1:2" ht="30" customHeight="1" x14ac:dyDescent="0.3">
      <c r="A1" s="23" t="s">
        <v>103</v>
      </c>
      <c r="B1" s="21"/>
    </row>
    <row r="2" spans="1:2" ht="30" customHeight="1" x14ac:dyDescent="0.3">
      <c r="A2" s="22" t="s">
        <v>104</v>
      </c>
      <c r="B2" s="21"/>
    </row>
    <row r="3" spans="1:2" ht="10.050000000000001" customHeight="1" x14ac:dyDescent="0.3"/>
    <row r="4" spans="1:2" ht="22.05" customHeight="1" x14ac:dyDescent="0.3">
      <c r="A4" s="15" t="s">
        <v>105</v>
      </c>
      <c r="B4" s="16">
        <f>COUNTIF(RTM!L2:L11,"Pass")+COUNTIF(RTM!L2:L11,"Fail")</f>
        <v>10</v>
      </c>
    </row>
    <row r="5" spans="1:2" ht="22.05" customHeight="1" x14ac:dyDescent="0.3">
      <c r="A5" s="17" t="s">
        <v>106</v>
      </c>
      <c r="B5" s="18">
        <f>COUNTIF(RTM!L2:L11,"Pass")</f>
        <v>10</v>
      </c>
    </row>
    <row r="6" spans="1:2" ht="22.05" customHeight="1" x14ac:dyDescent="0.3">
      <c r="A6" s="17" t="s">
        <v>107</v>
      </c>
      <c r="B6" s="18">
        <f>COUNTIF(RTM!L2:L11,"Fail")</f>
        <v>0</v>
      </c>
    </row>
    <row r="7" spans="1:2" ht="22.05" customHeight="1" x14ac:dyDescent="0.3">
      <c r="A7" s="17" t="s">
        <v>108</v>
      </c>
      <c r="B7" s="19">
        <f>COUNTIF(RTM!L2:L11,"Pass")/(COUNTIF(RTM!L2:L11,"Pass")+COUNTIF(RTM!L2:L11,"Fail"))</f>
        <v>1</v>
      </c>
    </row>
    <row r="8" spans="1:2" ht="10.050000000000001" customHeight="1" x14ac:dyDescent="0.3"/>
    <row r="9" spans="1:2" ht="30" customHeight="1" x14ac:dyDescent="0.3">
      <c r="A9" s="22" t="s">
        <v>109</v>
      </c>
      <c r="B9" s="21"/>
    </row>
    <row r="10" spans="1:2" ht="22.05" customHeight="1" x14ac:dyDescent="0.3">
      <c r="A10" s="17" t="s">
        <v>110</v>
      </c>
      <c r="B10" s="18">
        <f>COUNTIF(RTM!E2:E11,"Positive")</f>
        <v>7</v>
      </c>
    </row>
    <row r="11" spans="1:2" ht="22.05" customHeight="1" x14ac:dyDescent="0.3">
      <c r="A11" s="17" t="s">
        <v>111</v>
      </c>
      <c r="B11" s="18">
        <f>COUNTIF(RTM!E2:E11,"Negative")</f>
        <v>3</v>
      </c>
    </row>
    <row r="12" spans="1:2" ht="22.05" customHeight="1" x14ac:dyDescent="0.3">
      <c r="A12" s="17" t="s">
        <v>112</v>
      </c>
      <c r="B12" s="18">
        <f>COUNTIF(RTM!F2:F11,"GET")</f>
        <v>3</v>
      </c>
    </row>
    <row r="13" spans="1:2" ht="22.05" customHeight="1" x14ac:dyDescent="0.3">
      <c r="A13" s="17" t="s">
        <v>113</v>
      </c>
      <c r="B13" s="18">
        <f>COUNTIF(RTM!F2:F11,"POST")</f>
        <v>5</v>
      </c>
    </row>
    <row r="14" spans="1:2" ht="22.05" customHeight="1" x14ac:dyDescent="0.3">
      <c r="A14" s="17" t="s">
        <v>114</v>
      </c>
      <c r="B14" s="18">
        <f>COUNTIF(RTM!F2:F11,"PUT")</f>
        <v>1</v>
      </c>
    </row>
    <row r="15" spans="1:2" ht="22.05" customHeight="1" x14ac:dyDescent="0.3">
      <c r="A15" s="17" t="s">
        <v>115</v>
      </c>
      <c r="B15" s="18">
        <f>COUNTIF(RTM!F2:F11,"DELETE")</f>
        <v>1</v>
      </c>
    </row>
  </sheetData>
  <mergeCells count="3">
    <mergeCell ref="A9:B9"/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 Page</vt:lpstr>
      <vt:lpstr>RTM</vt:lpstr>
      <vt:lpstr>Test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SAKSHI JAGTAP</cp:lastModifiedBy>
  <dcterms:created xsi:type="dcterms:W3CDTF">2026-05-24T09:01:11Z</dcterms:created>
  <dcterms:modified xsi:type="dcterms:W3CDTF">2026-05-24T13:57:45Z</dcterms:modified>
</cp:coreProperties>
</file>